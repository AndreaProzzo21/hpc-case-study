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14" i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E11" i="1" s="1"/>
  <c r="F11" i="1" s="1"/>
  <c r="D5" i="1"/>
  <c r="E5" i="1" s="1"/>
  <c r="F5" i="1" s="1"/>
</calcChain>
</file>

<file path=xl/sharedStrings.xml><?xml version="1.0" encoding="utf-8"?>
<sst xmlns="http://schemas.openxmlformats.org/spreadsheetml/2006/main" count="16" uniqueCount="14">
  <si>
    <t>Cores</t>
  </si>
  <si>
    <t>Time</t>
  </si>
  <si>
    <t>SpeedUp</t>
  </si>
  <si>
    <t>Efficiency</t>
  </si>
  <si>
    <t>Efficiency %</t>
  </si>
  <si>
    <t>Ideal SpeedUp</t>
  </si>
  <si>
    <t>Simulation Parameters</t>
  </si>
  <si>
    <t>total_samples</t>
  </si>
  <si>
    <t>window_size</t>
  </si>
  <si>
    <t>threshold</t>
  </si>
  <si>
    <t>1. Strong scaling (fixed problem size, increasing number of cores)</t>
  </si>
  <si>
    <t xml:space="preserve">2. Weak scaling (sample size grows as number of cores grows) </t>
  </si>
  <si>
    <t>Total Sample</t>
  </si>
  <si>
    <t>OOM Killed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</si>
</sst>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1" fillId="0" borderId="3" xfId="0" applyFont="1" applyBorder="1" applyAlignment="1">
      <alignment horizontal="center"/>
    </xf>
    <xf numFmtId="2" fontId="0" fillId="0" borderId="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0" xfId="0" applyFont="1"/>
    <xf numFmtId="0" fontId="0" fillId="0" borderId="0" xfId="0" applyBorder="1"/>
    <xf numFmtId="164" fontId="0" fillId="0" borderId="0" xfId="0" applyNumberFormat="1" applyBorder="1"/>
    <xf numFmtId="1" fontId="0" fillId="0" borderId="7" xfId="1" applyNumberFormat="1" applyFont="1" applyBorder="1"/>
    <xf numFmtId="1" fontId="0" fillId="0" borderId="8" xfId="1" applyNumberFormat="1" applyFont="1" applyBorder="1"/>
    <xf numFmtId="0" fontId="0" fillId="0" borderId="9" xfId="0" applyFill="1" applyBorder="1"/>
    <xf numFmtId="1" fontId="0" fillId="0" borderId="9" xfId="1" applyNumberFormat="1" applyFont="1" applyFill="1" applyBorder="1"/>
    <xf numFmtId="164" fontId="0" fillId="0" borderId="12" xfId="0" applyNumberForma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Ideal vs Real SpeedUp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 Speed Up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Foglio1!$B$5:$B$11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Foglio1!$B$14:$B$20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B-44B3-BA17-AC2A42D99D3B}"/>
            </c:ext>
          </c:extLst>
        </c:ser>
        <c:ser>
          <c:idx val="1"/>
          <c:order val="1"/>
          <c:tx>
            <c:v>Real Speed Up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Foglio1!$B$5:$B$11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Foglio1!$D$5:$D$11</c:f>
              <c:numCache>
                <c:formatCode>0.00</c:formatCode>
                <c:ptCount val="7"/>
                <c:pt idx="0">
                  <c:v>1</c:v>
                </c:pt>
                <c:pt idx="1">
                  <c:v>2.0365125489571376</c:v>
                </c:pt>
                <c:pt idx="2">
                  <c:v>3.4240525326597431</c:v>
                </c:pt>
                <c:pt idx="3">
                  <c:v>5.6492575407800212</c:v>
                </c:pt>
                <c:pt idx="4">
                  <c:v>8.4802827210759872</c:v>
                </c:pt>
                <c:pt idx="5">
                  <c:v>10.798071882099379</c:v>
                </c:pt>
                <c:pt idx="6">
                  <c:v>12.161024732664174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B-44B3-BA17-AC2A42D9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398224"/>
        <c:axId val="1325402800"/>
      </c:lineChart>
      <c:catAx>
        <c:axId val="132539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5402800"/>
        <c:crosses val="autoZero"/>
        <c:auto val="1"/>
        <c:lblAlgn val="ctr"/>
        <c:lblOffset val="100"/>
        <c:noMultiLvlLbl val="0"/>
      </c:catAx>
      <c:valAx>
        <c:axId val="13254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539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(%)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Efficiency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Foglio1!$B$5:$B$11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Foglio1!$F$5:$F$11</c:f>
              <c:numCache>
                <c:formatCode>0.00%</c:formatCode>
                <c:ptCount val="7"/>
                <c:pt idx="0">
                  <c:v>1</c:v>
                </c:pt>
                <c:pt idx="1">
                  <c:v>1.0182562744785688</c:v>
                </c:pt>
                <c:pt idx="2">
                  <c:v>0.85601313316493577</c:v>
                </c:pt>
                <c:pt idx="3">
                  <c:v>0.70615719259750265</c:v>
                </c:pt>
                <c:pt idx="4">
                  <c:v>0.70669022675633231</c:v>
                </c:pt>
                <c:pt idx="5">
                  <c:v>0.67487949263121116</c:v>
                </c:pt>
                <c:pt idx="6">
                  <c:v>0.6080512366332087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4-4A3F-830B-65E10C27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163648"/>
        <c:axId val="1508152416"/>
      </c:lineChart>
      <c:catAx>
        <c:axId val="150816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8152416"/>
        <c:crosses val="autoZero"/>
        <c:auto val="1"/>
        <c:lblAlgn val="ctr"/>
        <c:lblOffset val="100"/>
        <c:noMultiLvlLbl val="0"/>
      </c:catAx>
      <c:valAx>
        <c:axId val="15081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816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Computational Time (s)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Computational Time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Foglio1!$B$5:$B$11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Foglio1!$C$5:$C$11</c:f>
              <c:numCache>
                <c:formatCode>#,##0.00000</c:formatCode>
                <c:ptCount val="7"/>
                <c:pt idx="0">
                  <c:v>74.148200000000003</c:v>
                </c:pt>
                <c:pt idx="1">
                  <c:v>36.409399999999998</c:v>
                </c:pt>
                <c:pt idx="2">
                  <c:v>21.655100000000001</c:v>
                </c:pt>
                <c:pt idx="3">
                  <c:v>13.125299999999999</c:v>
                </c:pt>
                <c:pt idx="4">
                  <c:v>8.7436000000000007</c:v>
                </c:pt>
                <c:pt idx="5">
                  <c:v>6.8667999999999996</c:v>
                </c:pt>
                <c:pt idx="6">
                  <c:v>6.0972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5-4503-BCAE-22C11E1C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163648"/>
        <c:axId val="1508152416"/>
      </c:lineChart>
      <c:catAx>
        <c:axId val="150816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8152416"/>
        <c:crosses val="autoZero"/>
        <c:auto val="1"/>
        <c:lblAlgn val="ctr"/>
        <c:lblOffset val="100"/>
        <c:noMultiLvlLbl val="0"/>
      </c:catAx>
      <c:valAx>
        <c:axId val="15081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816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Computational</a:t>
            </a:r>
            <a:r>
              <a:rPr lang="en-US" baseline="0"/>
              <a:t> 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Foglio1!$C$44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Foglio1!$B$45:$B$51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</c:numCache>
            </c:numRef>
          </c:xVal>
          <c:yVal>
            <c:numRef>
              <c:f>Foglio1!$C$45:$C$51</c:f>
              <c:numCache>
                <c:formatCode>#,##0.00000</c:formatCode>
                <c:ptCount val="7"/>
                <c:pt idx="0">
                  <c:v>69.505600000000001</c:v>
                </c:pt>
                <c:pt idx="1">
                  <c:v>78.851600000000005</c:v>
                </c:pt>
                <c:pt idx="2">
                  <c:v>81.591700000000003</c:v>
                </c:pt>
                <c:pt idx="3">
                  <c:v>87.019499999999994</c:v>
                </c:pt>
                <c:pt idx="4">
                  <c:v>99.149000000000001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9B-4FC8-A6F6-C056AEC65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285247"/>
        <c:axId val="1225283999"/>
      </c:scatterChart>
      <c:valAx>
        <c:axId val="122528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5283999"/>
        <c:crosses val="autoZero"/>
        <c:crossBetween val="midCat"/>
      </c:valAx>
      <c:valAx>
        <c:axId val="122528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Time</a:t>
                </a:r>
                <a:r>
                  <a:rPr lang="it-IT" baseline="0"/>
                  <a:t> (s)</a:t>
                </a:r>
                <a:endParaRPr lang="it-IT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528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2</xdr:row>
      <xdr:rowOff>187325</xdr:rowOff>
    </xdr:from>
    <xdr:to>
      <xdr:col>15</xdr:col>
      <xdr:colOff>307975</xdr:colOff>
      <xdr:row>17</xdr:row>
      <xdr:rowOff>136525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288925</xdr:colOff>
      <xdr:row>23</xdr:row>
      <xdr:rowOff>9525</xdr:rowOff>
    </xdr:from>
    <xdr:to>
      <xdr:col>13</xdr:col>
      <xdr:colOff>593725</xdr:colOff>
      <xdr:row>37</xdr:row>
      <xdr:rowOff>174625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584200</xdr:colOff>
      <xdr:row>23</xdr:row>
      <xdr:rowOff>19050</xdr:rowOff>
    </xdr:from>
    <xdr:to>
      <xdr:col>6</xdr:col>
      <xdr:colOff>133350</xdr:colOff>
      <xdr:row>38</xdr:row>
      <xdr:rowOff>0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3175</xdr:colOff>
      <xdr:row>42</xdr:row>
      <xdr:rowOff>187325</xdr:rowOff>
    </xdr:from>
    <xdr:to>
      <xdr:col>13</xdr:col>
      <xdr:colOff>307975</xdr:colOff>
      <xdr:row>57</xdr:row>
      <xdr:rowOff>149225</xdr:rowOff>
    </xdr:to>
    <xdr:graphicFrame macro="">
      <xdr:nvGraphicFramePr>
        <xdr:cNvPr id="5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2"/>
  <sheetViews>
    <sheetView tabSelected="1" topLeftCell="A39" workbookViewId="0">
      <selection activeCell="D53" sqref="D53"/>
    </sheetView>
  </sheetViews>
  <sheetFormatPr defaultRowHeight="14.5" x14ac:dyDescent="0.35"/>
  <cols>
    <col min="2" max="6" width="12.6328125" customWidth="1"/>
  </cols>
  <sheetData>
    <row r="2" spans="2:6" ht="21" x14ac:dyDescent="0.5">
      <c r="B2" s="19" t="s">
        <v>10</v>
      </c>
    </row>
    <row r="3" spans="2:6" ht="15" thickBot="1" x14ac:dyDescent="0.4"/>
    <row r="4" spans="2:6" ht="15" thickBot="1" x14ac:dyDescent="0.4">
      <c r="B4" s="1" t="s">
        <v>0</v>
      </c>
      <c r="C4" s="1" t="s">
        <v>1</v>
      </c>
      <c r="D4" s="8" t="s">
        <v>2</v>
      </c>
      <c r="E4" s="12" t="s">
        <v>3</v>
      </c>
      <c r="F4" s="13" t="s">
        <v>4</v>
      </c>
    </row>
    <row r="5" spans="2:6" x14ac:dyDescent="0.35">
      <c r="B5" s="2">
        <v>1</v>
      </c>
      <c r="C5" s="5">
        <v>74.148200000000003</v>
      </c>
      <c r="D5" s="9">
        <f>$C$5/C5</f>
        <v>1</v>
      </c>
      <c r="E5" s="9">
        <f>D5/B5</f>
        <v>1</v>
      </c>
      <c r="F5" s="14">
        <f>E5</f>
        <v>1</v>
      </c>
    </row>
    <row r="6" spans="2:6" x14ac:dyDescent="0.35">
      <c r="B6" s="3">
        <v>2</v>
      </c>
      <c r="C6" s="6">
        <v>36.409399999999998</v>
      </c>
      <c r="D6" s="10">
        <f t="shared" ref="D6:D11" si="0">$C$5/C6</f>
        <v>2.0365125489571376</v>
      </c>
      <c r="E6" s="10">
        <f t="shared" ref="E6:E11" si="1">D6/B6</f>
        <v>1.0182562744785688</v>
      </c>
      <c r="F6" s="15">
        <f t="shared" ref="F6:F11" si="2">E6</f>
        <v>1.0182562744785688</v>
      </c>
    </row>
    <row r="7" spans="2:6" x14ac:dyDescent="0.35">
      <c r="B7" s="3">
        <v>4</v>
      </c>
      <c r="C7" s="6">
        <v>21.655100000000001</v>
      </c>
      <c r="D7" s="10">
        <f t="shared" si="0"/>
        <v>3.4240525326597431</v>
      </c>
      <c r="E7" s="10">
        <f t="shared" si="1"/>
        <v>0.85601313316493577</v>
      </c>
      <c r="F7" s="15">
        <f t="shared" si="2"/>
        <v>0.85601313316493577</v>
      </c>
    </row>
    <row r="8" spans="2:6" x14ac:dyDescent="0.35">
      <c r="B8" s="3">
        <v>8</v>
      </c>
      <c r="C8" s="6">
        <v>13.125299999999999</v>
      </c>
      <c r="D8" s="10">
        <f t="shared" si="0"/>
        <v>5.6492575407800212</v>
      </c>
      <c r="E8" s="10">
        <f t="shared" si="1"/>
        <v>0.70615719259750265</v>
      </c>
      <c r="F8" s="15">
        <f t="shared" si="2"/>
        <v>0.70615719259750265</v>
      </c>
    </row>
    <row r="9" spans="2:6" x14ac:dyDescent="0.35">
      <c r="B9" s="3">
        <v>12</v>
      </c>
      <c r="C9" s="6">
        <v>8.7436000000000007</v>
      </c>
      <c r="D9" s="10">
        <f t="shared" si="0"/>
        <v>8.4802827210759872</v>
      </c>
      <c r="E9" s="10">
        <f t="shared" si="1"/>
        <v>0.70669022675633231</v>
      </c>
      <c r="F9" s="15">
        <f t="shared" si="2"/>
        <v>0.70669022675633231</v>
      </c>
    </row>
    <row r="10" spans="2:6" x14ac:dyDescent="0.35">
      <c r="B10" s="3">
        <v>16</v>
      </c>
      <c r="C10" s="6">
        <v>6.8667999999999996</v>
      </c>
      <c r="D10" s="10">
        <f t="shared" si="0"/>
        <v>10.798071882099379</v>
      </c>
      <c r="E10" s="10">
        <f t="shared" si="1"/>
        <v>0.67487949263121116</v>
      </c>
      <c r="F10" s="15">
        <f t="shared" si="2"/>
        <v>0.67487949263121116</v>
      </c>
    </row>
    <row r="11" spans="2:6" ht="15" thickBot="1" x14ac:dyDescent="0.4">
      <c r="B11" s="4">
        <v>20</v>
      </c>
      <c r="C11" s="7">
        <v>6.0972</v>
      </c>
      <c r="D11" s="11">
        <f t="shared" si="0"/>
        <v>12.161024732664174</v>
      </c>
      <c r="E11" s="11">
        <f t="shared" si="1"/>
        <v>0.6080512366332087</v>
      </c>
      <c r="F11" s="16">
        <f t="shared" si="2"/>
        <v>0.6080512366332087</v>
      </c>
    </row>
    <row r="12" spans="2:6" ht="15" thickBot="1" x14ac:dyDescent="0.4"/>
    <row r="13" spans="2:6" ht="15" thickBot="1" x14ac:dyDescent="0.4">
      <c r="B13" s="1" t="s">
        <v>5</v>
      </c>
      <c r="D13" s="17" t="s">
        <v>6</v>
      </c>
      <c r="E13" s="18"/>
    </row>
    <row r="14" spans="2:6" x14ac:dyDescent="0.35">
      <c r="B14" s="2">
        <f>$B$5*B5</f>
        <v>1</v>
      </c>
      <c r="D14" s="2" t="s">
        <v>7</v>
      </c>
      <c r="E14" s="2">
        <v>10000000</v>
      </c>
    </row>
    <row r="15" spans="2:6" x14ac:dyDescent="0.35">
      <c r="B15" s="3">
        <f t="shared" ref="B15:B20" si="3">$B$5*B6</f>
        <v>2</v>
      </c>
      <c r="D15" s="3" t="s">
        <v>8</v>
      </c>
      <c r="E15" s="3">
        <v>5000</v>
      </c>
    </row>
    <row r="16" spans="2:6" ht="15" thickBot="1" x14ac:dyDescent="0.4">
      <c r="B16" s="3">
        <f t="shared" si="3"/>
        <v>4</v>
      </c>
      <c r="D16" s="4" t="s">
        <v>9</v>
      </c>
      <c r="E16" s="4">
        <v>5</v>
      </c>
    </row>
    <row r="17" spans="2:2" x14ac:dyDescent="0.35">
      <c r="B17" s="3">
        <f t="shared" si="3"/>
        <v>8</v>
      </c>
    </row>
    <row r="18" spans="2:2" x14ac:dyDescent="0.35">
      <c r="B18" s="3">
        <f t="shared" si="3"/>
        <v>12</v>
      </c>
    </row>
    <row r="19" spans="2:2" x14ac:dyDescent="0.35">
      <c r="B19" s="3">
        <f t="shared" si="3"/>
        <v>16</v>
      </c>
    </row>
    <row r="20" spans="2:2" ht="15" thickBot="1" x14ac:dyDescent="0.4">
      <c r="B20" s="4">
        <f t="shared" si="3"/>
        <v>20</v>
      </c>
    </row>
    <row r="42" spans="2:4" ht="21" x14ac:dyDescent="0.5">
      <c r="B42" s="19" t="s">
        <v>11</v>
      </c>
    </row>
    <row r="43" spans="2:4" ht="15" thickBot="1" x14ac:dyDescent="0.4"/>
    <row r="44" spans="2:4" ht="15" thickBot="1" x14ac:dyDescent="0.4">
      <c r="B44" s="1" t="s">
        <v>0</v>
      </c>
      <c r="C44" s="1" t="s">
        <v>1</v>
      </c>
      <c r="D44" s="1" t="s">
        <v>12</v>
      </c>
    </row>
    <row r="45" spans="2:4" x14ac:dyDescent="0.35">
      <c r="B45" s="2">
        <v>1</v>
      </c>
      <c r="C45" s="5">
        <v>69.505600000000001</v>
      </c>
      <c r="D45" s="22">
        <v>10000000</v>
      </c>
    </row>
    <row r="46" spans="2:4" x14ac:dyDescent="0.35">
      <c r="B46" s="3">
        <v>2</v>
      </c>
      <c r="C46" s="6">
        <v>78.851600000000005</v>
      </c>
      <c r="D46" s="23">
        <v>20000000</v>
      </c>
    </row>
    <row r="47" spans="2:4" x14ac:dyDescent="0.35">
      <c r="B47" s="3">
        <v>4</v>
      </c>
      <c r="C47" s="6">
        <v>81.591700000000003</v>
      </c>
      <c r="D47" s="23">
        <v>40000000</v>
      </c>
    </row>
    <row r="48" spans="2:4" x14ac:dyDescent="0.35">
      <c r="B48" s="3">
        <v>8</v>
      </c>
      <c r="C48" s="6">
        <v>87.019499999999994</v>
      </c>
      <c r="D48" s="23">
        <v>80000000</v>
      </c>
    </row>
    <row r="49" spans="2:5" x14ac:dyDescent="0.35">
      <c r="B49" s="3">
        <v>12</v>
      </c>
      <c r="C49" s="6">
        <v>99.149000000000001</v>
      </c>
      <c r="D49" s="23">
        <v>120000000</v>
      </c>
    </row>
    <row r="50" spans="2:5" ht="15" thickBot="1" x14ac:dyDescent="0.4">
      <c r="B50" s="24">
        <v>16</v>
      </c>
      <c r="C50" s="26"/>
      <c r="D50" s="25">
        <v>160000000</v>
      </c>
      <c r="E50" s="27" t="s">
        <v>13</v>
      </c>
    </row>
    <row r="51" spans="2:5" x14ac:dyDescent="0.35">
      <c r="B51" s="20"/>
      <c r="C51" s="21"/>
      <c r="D51" s="20"/>
    </row>
    <row r="52" spans="2:5" x14ac:dyDescent="0.35">
      <c r="B52" s="20"/>
      <c r="C52" s="20"/>
      <c r="D52" s="20"/>
    </row>
  </sheetData>
  <mergeCells count="1">
    <mergeCell ref="D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2026-07-16T09:17:08Z</dcterms:modified>
</cp:coreProperties>
</file>